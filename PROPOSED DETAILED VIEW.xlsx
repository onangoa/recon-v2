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99721075-4190-4554-B310-4E3AC8737240}" xr6:coauthVersionLast="47" xr6:coauthVersionMax="47" xr10:uidLastSave="{00000000-0000-0000-0000-000000000000}"/>
  <bookViews>
    <workbookView xWindow="-108" yWindow="-108" windowWidth="23256" windowHeight="12456" xr2:uid="{B84EED39-FCB2-4C86-84D1-8080A97C1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1" i="1" l="1"/>
  <c r="V15" i="1"/>
  <c r="W15" i="1" s="1"/>
  <c r="V16" i="1"/>
  <c r="W16" i="1" s="1"/>
  <c r="V17" i="1"/>
  <c r="W17" i="1" s="1"/>
  <c r="V18" i="1"/>
  <c r="W18" i="1" s="1"/>
  <c r="V19" i="1"/>
  <c r="W19" i="1" s="1"/>
  <c r="Y19" i="1" s="1"/>
  <c r="AA19" i="1" s="1"/>
  <c r="V14" i="1"/>
  <c r="W14" i="1" s="1"/>
  <c r="W21" i="1" s="1"/>
  <c r="U15" i="1"/>
  <c r="X15" i="1" s="1"/>
  <c r="U16" i="1"/>
  <c r="X16" i="1" s="1"/>
  <c r="Y16" i="1" s="1"/>
  <c r="AA16" i="1" s="1"/>
  <c r="U17" i="1"/>
  <c r="X17" i="1" s="1"/>
  <c r="U18" i="1"/>
  <c r="X18" i="1" s="1"/>
  <c r="U19" i="1"/>
  <c r="X19" i="1" s="1"/>
  <c r="U14" i="1"/>
  <c r="X14" i="1" s="1"/>
  <c r="Y15" i="1" l="1"/>
  <c r="AA15" i="1" s="1"/>
  <c r="X21" i="1"/>
  <c r="Y17" i="1"/>
  <c r="AA17" i="1" s="1"/>
  <c r="Y18" i="1"/>
  <c r="AA18" i="1" s="1"/>
  <c r="Y14" i="1"/>
  <c r="AA14" i="1" l="1"/>
  <c r="AA21" i="1" s="1"/>
  <c r="Y21" i="1"/>
</calcChain>
</file>

<file path=xl/sharedStrings.xml><?xml version="1.0" encoding="utf-8"?>
<sst xmlns="http://schemas.openxmlformats.org/spreadsheetml/2006/main" count="52" uniqueCount="34">
  <si>
    <t>Worker</t>
  </si>
  <si>
    <t>Designation</t>
  </si>
  <si>
    <t>Payroll period</t>
  </si>
  <si>
    <t>Days</t>
  </si>
  <si>
    <t>PAYE TAX</t>
  </si>
  <si>
    <t>NET PAY</t>
  </si>
  <si>
    <t>STATUS</t>
  </si>
  <si>
    <t>HUMPHREY MBUGUA</t>
  </si>
  <si>
    <t>ELVIS OSCAR</t>
  </si>
  <si>
    <t>ALEX NDEKE</t>
  </si>
  <si>
    <t>ANTONY OWINO</t>
  </si>
  <si>
    <t>WILSON MBUGUA</t>
  </si>
  <si>
    <t>SHABAN ONYANGO</t>
  </si>
  <si>
    <t>QS</t>
  </si>
  <si>
    <t>ASS. ENGINEER</t>
  </si>
  <si>
    <t>TRAINEE</t>
  </si>
  <si>
    <t>ENGINEER</t>
  </si>
  <si>
    <t>LEAD ENGINEER</t>
  </si>
  <si>
    <t>SALARY</t>
  </si>
  <si>
    <t>Date</t>
  </si>
  <si>
    <t>hrs</t>
  </si>
  <si>
    <t>Total overtime hours</t>
  </si>
  <si>
    <t>Overtime</t>
  </si>
  <si>
    <t>overtime/hr</t>
  </si>
  <si>
    <t>GROSS SALARY</t>
  </si>
  <si>
    <t>GROSS SALARY + OT</t>
  </si>
  <si>
    <t>GROSS OT</t>
  </si>
  <si>
    <t>This table needs to have a filter whereby the filtration can be based on designation</t>
  </si>
  <si>
    <t>this table should be printable to both excel and pdf format</t>
  </si>
  <si>
    <t>NB</t>
  </si>
  <si>
    <t>THIS TABLE SHOULD APPEAR UNDER &lt;(HOME&gt;PAYROL&gt;PAYROLL NAME&gt;DETAILED VIEW)</t>
  </si>
  <si>
    <t>PAID</t>
  </si>
  <si>
    <t>TOTAL</t>
  </si>
  <si>
    <t>Upon filtering, the totals should coincide with the filtered designations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</si>
</sst>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9" tint="-0.249977111117893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16" fontId="2" fillId="0" borderId="15" xfId="0" applyNumberFormat="1" applyFont="1" applyBorder="1"/>
    <xf numFmtId="16" fontId="2" fillId="0" borderId="16" xfId="0" applyNumberFormat="1" applyFont="1" applyBorder="1"/>
    <xf numFmtId="16" fontId="2" fillId="0" borderId="18" xfId="0" applyNumberFormat="1" applyFont="1" applyBorder="1" applyAlignment="1">
      <alignment horizontal="center"/>
    </xf>
    <xf numFmtId="16" fontId="2" fillId="0" borderId="19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0" xfId="0" applyFont="1"/>
    <xf numFmtId="0" fontId="2" fillId="0" borderId="21" xfId="0" applyFont="1" applyBorder="1"/>
    <xf numFmtId="0" fontId="2" fillId="0" borderId="22" xfId="0" applyFont="1" applyBorder="1"/>
    <xf numFmtId="0" fontId="2" fillId="0" borderId="25" xfId="0" applyFont="1" applyBorder="1"/>
    <xf numFmtId="0" fontId="2" fillId="0" borderId="20" xfId="0" applyFont="1" applyBorder="1"/>
    <xf numFmtId="1" fontId="2" fillId="0" borderId="20" xfId="0" applyNumberFormat="1" applyFont="1" applyBorder="1" applyAlignment="1">
      <alignment horizontal="right"/>
    </xf>
    <xf numFmtId="1" fontId="2" fillId="0" borderId="21" xfId="0" applyNumberFormat="1" applyFont="1" applyBorder="1" applyAlignment="1">
      <alignment horizontal="right"/>
    </xf>
    <xf numFmtId="1" fontId="2" fillId="0" borderId="22" xfId="0" applyNumberFormat="1" applyFont="1" applyBorder="1" applyAlignment="1">
      <alignment horizontal="right"/>
    </xf>
    <xf numFmtId="164" fontId="2" fillId="0" borderId="20" xfId="1" applyNumberFormat="1" applyFont="1" applyBorder="1"/>
    <xf numFmtId="164" fontId="2" fillId="0" borderId="21" xfId="1" applyNumberFormat="1" applyFont="1" applyBorder="1"/>
    <xf numFmtId="164" fontId="2" fillId="0" borderId="22" xfId="1" applyNumberFormat="1" applyFont="1" applyBorder="1"/>
    <xf numFmtId="164" fontId="2" fillId="0" borderId="0" xfId="0" applyNumberFormat="1" applyFont="1"/>
    <xf numFmtId="164" fontId="5" fillId="0" borderId="0" xfId="0" applyNumberFormat="1" applyFont="1"/>
    <xf numFmtId="0" fontId="5" fillId="0" borderId="0" xfId="0" applyFont="1"/>
    <xf numFmtId="164" fontId="6" fillId="0" borderId="1" xfId="0" applyNumberFormat="1" applyFont="1" applyBorder="1"/>
    <xf numFmtId="0" fontId="7" fillId="0" borderId="14" xfId="0" applyFont="1" applyBorder="1"/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0" borderId="18" xfId="0" applyFont="1" applyBorder="1" applyAlignment="1">
      <alignment horizontal="center" wrapText="1"/>
    </xf>
    <xf numFmtId="0" fontId="7" fillId="0" borderId="27" xfId="0" applyFont="1" applyBorder="1" applyAlignment="1">
      <alignment horizontal="center" wrapText="1"/>
    </xf>
    <xf numFmtId="0" fontId="7" fillId="0" borderId="17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6" fontId="3" fillId="0" borderId="23" xfId="0" applyNumberFormat="1" applyFont="1" applyBorder="1" applyAlignment="1">
      <alignment horizontal="center" wrapText="1"/>
    </xf>
    <xf numFmtId="16" fontId="3" fillId="0" borderId="24" xfId="0" applyNumberFormat="1" applyFont="1" applyBorder="1" applyAlignment="1">
      <alignment horizontal="center" wrapText="1"/>
    </xf>
    <xf numFmtId="16" fontId="3" fillId="0" borderId="26" xfId="0" applyNumberFormat="1" applyFont="1" applyBorder="1" applyAlignment="1">
      <alignment horizontal="center" wrapText="1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3EE2-356B-4746-801B-2073C5B31E0D}">
  <dimension ref="G8:AB26"/>
  <sheetViews>
    <sheetView tabSelected="1" topLeftCell="E4" workbookViewId="0">
      <selection activeCell="P24" sqref="P24"/>
    </sheetView>
  </sheetViews>
  <sheetFormatPr defaultRowHeight="13.8" x14ac:dyDescent="0.25"/>
  <cols>
    <col min="1" max="6" width="8.88671875" style="1"/>
    <col min="7" max="7" width="21.5546875" style="1" customWidth="1"/>
    <col min="8" max="8" width="15.88671875" style="1" customWidth="1"/>
    <col min="9" max="10" width="11.109375" style="1" customWidth="1"/>
    <col min="11" max="22" width="8.88671875" style="1"/>
    <col min="23" max="25" width="10.5546875" style="1" customWidth="1"/>
    <col min="26" max="16384" width="8.88671875" style="1"/>
  </cols>
  <sheetData>
    <row r="8" spans="7:28" x14ac:dyDescent="0.25">
      <c r="G8" s="1" t="s">
        <v>30</v>
      </c>
    </row>
    <row r="10" spans="7:28" ht="14.4" thickBot="1" x14ac:dyDescent="0.3">
      <c r="K10" s="54"/>
      <c r="L10" s="54"/>
      <c r="M10" s="54"/>
      <c r="N10" s="54"/>
      <c r="O10" s="54"/>
      <c r="P10" s="54"/>
      <c r="Q10" s="54"/>
      <c r="R10" s="54"/>
      <c r="S10" s="54"/>
      <c r="T10" s="2"/>
      <c r="U10" s="2"/>
    </row>
    <row r="11" spans="7:28" ht="15" customHeight="1" thickBot="1" x14ac:dyDescent="0.3">
      <c r="G11" s="45" t="s">
        <v>0</v>
      </c>
      <c r="H11" s="45" t="s">
        <v>1</v>
      </c>
      <c r="I11" s="45" t="s">
        <v>18</v>
      </c>
      <c r="J11" s="51" t="s">
        <v>23</v>
      </c>
      <c r="K11" s="36" t="s">
        <v>2</v>
      </c>
      <c r="L11" s="37"/>
      <c r="M11" s="37"/>
      <c r="N11" s="37"/>
      <c r="O11" s="37"/>
      <c r="P11" s="37"/>
      <c r="Q11" s="37"/>
      <c r="R11" s="37"/>
      <c r="S11" s="37"/>
      <c r="T11" s="38"/>
      <c r="U11" s="48" t="s">
        <v>21</v>
      </c>
      <c r="V11" s="51" t="s">
        <v>3</v>
      </c>
      <c r="W11" s="33" t="s">
        <v>24</v>
      </c>
      <c r="X11" s="33" t="s">
        <v>26</v>
      </c>
      <c r="Y11" s="33" t="s">
        <v>25</v>
      </c>
      <c r="Z11" s="39" t="s">
        <v>4</v>
      </c>
      <c r="AA11" s="42" t="s">
        <v>5</v>
      </c>
      <c r="AB11" s="30" t="s">
        <v>6</v>
      </c>
    </row>
    <row r="12" spans="7:28" x14ac:dyDescent="0.25">
      <c r="G12" s="46"/>
      <c r="H12" s="46"/>
      <c r="I12" s="46"/>
      <c r="J12" s="52"/>
      <c r="K12" s="4" t="s">
        <v>19</v>
      </c>
      <c r="L12" s="5" t="s">
        <v>22</v>
      </c>
      <c r="M12" s="4" t="s">
        <v>19</v>
      </c>
      <c r="N12" s="5" t="s">
        <v>22</v>
      </c>
      <c r="O12" s="4" t="s">
        <v>19</v>
      </c>
      <c r="P12" s="5" t="s">
        <v>22</v>
      </c>
      <c r="Q12" s="4" t="s">
        <v>19</v>
      </c>
      <c r="R12" s="5" t="s">
        <v>22</v>
      </c>
      <c r="S12" s="4" t="s">
        <v>19</v>
      </c>
      <c r="T12" s="5" t="s">
        <v>22</v>
      </c>
      <c r="U12" s="49"/>
      <c r="V12" s="52"/>
      <c r="W12" s="34"/>
      <c r="X12" s="34"/>
      <c r="Y12" s="34"/>
      <c r="Z12" s="40"/>
      <c r="AA12" s="43"/>
      <c r="AB12" s="31"/>
    </row>
    <row r="13" spans="7:28" ht="14.4" thickBot="1" x14ac:dyDescent="0.3">
      <c r="G13" s="47"/>
      <c r="H13" s="47"/>
      <c r="I13" s="47"/>
      <c r="J13" s="53"/>
      <c r="K13" s="6">
        <v>46265</v>
      </c>
      <c r="L13" s="7" t="s">
        <v>20</v>
      </c>
      <c r="M13" s="6">
        <v>46266</v>
      </c>
      <c r="N13" s="7" t="s">
        <v>20</v>
      </c>
      <c r="O13" s="6">
        <v>46267</v>
      </c>
      <c r="P13" s="7" t="s">
        <v>20</v>
      </c>
      <c r="Q13" s="6">
        <v>46268</v>
      </c>
      <c r="R13" s="7" t="s">
        <v>20</v>
      </c>
      <c r="S13" s="6">
        <v>46269</v>
      </c>
      <c r="T13" s="7" t="s">
        <v>20</v>
      </c>
      <c r="U13" s="50"/>
      <c r="V13" s="53"/>
      <c r="W13" s="35"/>
      <c r="X13" s="35"/>
      <c r="Y13" s="35"/>
      <c r="Z13" s="41"/>
      <c r="AA13" s="44"/>
      <c r="AB13" s="32"/>
    </row>
    <row r="14" spans="7:28" x14ac:dyDescent="0.25">
      <c r="G14" s="14" t="s">
        <v>7</v>
      </c>
      <c r="H14" s="14" t="s">
        <v>13</v>
      </c>
      <c r="I14" s="14">
        <v>1500</v>
      </c>
      <c r="J14" s="14">
        <v>100</v>
      </c>
      <c r="K14" s="8">
        <v>1</v>
      </c>
      <c r="L14" s="27">
        <v>0</v>
      </c>
      <c r="M14" s="8">
        <v>1</v>
      </c>
      <c r="N14" s="27">
        <v>1</v>
      </c>
      <c r="O14" s="8">
        <v>1</v>
      </c>
      <c r="P14" s="27">
        <v>1</v>
      </c>
      <c r="Q14" s="8">
        <v>0</v>
      </c>
      <c r="R14" s="27">
        <v>0</v>
      </c>
      <c r="S14" s="8">
        <v>0</v>
      </c>
      <c r="T14" s="27">
        <v>0</v>
      </c>
      <c r="U14" s="15">
        <f>L14+N14+P14+R14+T14</f>
        <v>2</v>
      </c>
      <c r="V14" s="16">
        <f>K14+M14+O14+Q14+S14</f>
        <v>3</v>
      </c>
      <c r="W14" s="19">
        <f>I14*V14</f>
        <v>4500</v>
      </c>
      <c r="X14" s="19">
        <f>U14*J14</f>
        <v>200</v>
      </c>
      <c r="Y14" s="19">
        <f>W14+X14</f>
        <v>4700</v>
      </c>
      <c r="Z14" s="26">
        <v>0</v>
      </c>
      <c r="AA14" s="25">
        <f>Y14</f>
        <v>4700</v>
      </c>
      <c r="AB14" s="3" t="s">
        <v>31</v>
      </c>
    </row>
    <row r="15" spans="7:28" x14ac:dyDescent="0.25">
      <c r="G15" s="12" t="s">
        <v>8</v>
      </c>
      <c r="H15" s="12" t="s">
        <v>14</v>
      </c>
      <c r="I15" s="12">
        <v>2000</v>
      </c>
      <c r="J15" s="12">
        <v>150</v>
      </c>
      <c r="K15" s="9">
        <v>1</v>
      </c>
      <c r="L15" s="28">
        <v>0</v>
      </c>
      <c r="M15" s="9">
        <v>1</v>
      </c>
      <c r="N15" s="28">
        <v>2</v>
      </c>
      <c r="O15" s="9">
        <v>0</v>
      </c>
      <c r="P15" s="28">
        <v>2</v>
      </c>
      <c r="Q15" s="9">
        <v>0</v>
      </c>
      <c r="R15" s="28">
        <v>0</v>
      </c>
      <c r="S15" s="9">
        <v>1</v>
      </c>
      <c r="T15" s="28">
        <v>0</v>
      </c>
      <c r="U15" s="12">
        <f t="shared" ref="U15:U19" si="0">L15+N15+P15+R15+T15</f>
        <v>4</v>
      </c>
      <c r="V15" s="17">
        <f t="shared" ref="V15:V19" si="1">K15+M15+O15+Q15+S15</f>
        <v>3</v>
      </c>
      <c r="W15" s="20">
        <f t="shared" ref="W15:W19" si="2">I15*V15</f>
        <v>6000</v>
      </c>
      <c r="X15" s="20">
        <f t="shared" ref="X15:X19" si="3">U15*J15</f>
        <v>600</v>
      </c>
      <c r="Y15" s="20">
        <f t="shared" ref="Y15:Y19" si="4">W15+X15</f>
        <v>6600</v>
      </c>
      <c r="Z15" s="26">
        <v>0</v>
      </c>
      <c r="AA15" s="25">
        <f t="shared" ref="AA15:AA19" si="5">Y15</f>
        <v>6600</v>
      </c>
      <c r="AB15" s="3" t="s">
        <v>31</v>
      </c>
    </row>
    <row r="16" spans="7:28" x14ac:dyDescent="0.25">
      <c r="G16" s="12" t="s">
        <v>9</v>
      </c>
      <c r="H16" s="12" t="s">
        <v>14</v>
      </c>
      <c r="I16" s="12">
        <v>2000</v>
      </c>
      <c r="J16" s="12">
        <v>150</v>
      </c>
      <c r="K16" s="9">
        <v>0</v>
      </c>
      <c r="L16" s="28">
        <v>1.5</v>
      </c>
      <c r="M16" s="9">
        <v>1</v>
      </c>
      <c r="N16" s="28">
        <v>1</v>
      </c>
      <c r="O16" s="9">
        <v>1</v>
      </c>
      <c r="P16" s="28">
        <v>3</v>
      </c>
      <c r="Q16" s="9">
        <v>1</v>
      </c>
      <c r="R16" s="28">
        <v>0</v>
      </c>
      <c r="S16" s="9">
        <v>1</v>
      </c>
      <c r="T16" s="28">
        <v>0</v>
      </c>
      <c r="U16" s="12">
        <f t="shared" si="0"/>
        <v>5.5</v>
      </c>
      <c r="V16" s="17">
        <f t="shared" si="1"/>
        <v>4</v>
      </c>
      <c r="W16" s="20">
        <f t="shared" si="2"/>
        <v>8000</v>
      </c>
      <c r="X16" s="20">
        <f t="shared" si="3"/>
        <v>825</v>
      </c>
      <c r="Y16" s="20">
        <f t="shared" si="4"/>
        <v>8825</v>
      </c>
      <c r="Z16" s="26">
        <v>0</v>
      </c>
      <c r="AA16" s="25">
        <f t="shared" si="5"/>
        <v>8825</v>
      </c>
      <c r="AB16" s="3" t="s">
        <v>31</v>
      </c>
    </row>
    <row r="17" spans="7:28" x14ac:dyDescent="0.25">
      <c r="G17" s="12" t="s">
        <v>10</v>
      </c>
      <c r="H17" s="12" t="s">
        <v>15</v>
      </c>
      <c r="I17" s="12">
        <v>1200</v>
      </c>
      <c r="J17" s="12">
        <v>130</v>
      </c>
      <c r="K17" s="9">
        <v>1</v>
      </c>
      <c r="L17" s="28">
        <v>1</v>
      </c>
      <c r="M17" s="9">
        <v>1</v>
      </c>
      <c r="N17" s="28">
        <v>2.5</v>
      </c>
      <c r="O17" s="9">
        <v>1</v>
      </c>
      <c r="P17" s="28">
        <v>3</v>
      </c>
      <c r="Q17" s="9">
        <v>0</v>
      </c>
      <c r="R17" s="28">
        <v>0</v>
      </c>
      <c r="S17" s="9">
        <v>1</v>
      </c>
      <c r="T17" s="28">
        <v>0</v>
      </c>
      <c r="U17" s="12">
        <f t="shared" si="0"/>
        <v>6.5</v>
      </c>
      <c r="V17" s="17">
        <f t="shared" si="1"/>
        <v>4</v>
      </c>
      <c r="W17" s="20">
        <f t="shared" si="2"/>
        <v>4800</v>
      </c>
      <c r="X17" s="20">
        <f t="shared" si="3"/>
        <v>845</v>
      </c>
      <c r="Y17" s="20">
        <f t="shared" si="4"/>
        <v>5645</v>
      </c>
      <c r="Z17" s="26">
        <v>0</v>
      </c>
      <c r="AA17" s="25">
        <f t="shared" si="5"/>
        <v>5645</v>
      </c>
      <c r="AB17" s="3" t="s">
        <v>31</v>
      </c>
    </row>
    <row r="18" spans="7:28" x14ac:dyDescent="0.25">
      <c r="G18" s="12" t="s">
        <v>11</v>
      </c>
      <c r="H18" s="12" t="s">
        <v>16</v>
      </c>
      <c r="I18" s="12">
        <v>3500</v>
      </c>
      <c r="J18" s="12">
        <v>200</v>
      </c>
      <c r="K18" s="9">
        <v>1</v>
      </c>
      <c r="L18" s="28">
        <v>0</v>
      </c>
      <c r="M18" s="9">
        <v>0</v>
      </c>
      <c r="N18" s="28">
        <v>0</v>
      </c>
      <c r="O18" s="9">
        <v>1</v>
      </c>
      <c r="P18" s="28">
        <v>1</v>
      </c>
      <c r="Q18" s="9">
        <v>1</v>
      </c>
      <c r="R18" s="28">
        <v>0</v>
      </c>
      <c r="S18" s="9">
        <v>1</v>
      </c>
      <c r="T18" s="28">
        <v>0</v>
      </c>
      <c r="U18" s="12">
        <f t="shared" si="0"/>
        <v>1</v>
      </c>
      <c r="V18" s="17">
        <f t="shared" si="1"/>
        <v>4</v>
      </c>
      <c r="W18" s="20">
        <f t="shared" si="2"/>
        <v>14000</v>
      </c>
      <c r="X18" s="20">
        <f t="shared" si="3"/>
        <v>200</v>
      </c>
      <c r="Y18" s="20">
        <f t="shared" si="4"/>
        <v>14200</v>
      </c>
      <c r="Z18" s="26">
        <v>0</v>
      </c>
      <c r="AA18" s="25">
        <f t="shared" si="5"/>
        <v>14200</v>
      </c>
      <c r="AB18" s="3" t="s">
        <v>31</v>
      </c>
    </row>
    <row r="19" spans="7:28" ht="14.4" thickBot="1" x14ac:dyDescent="0.3">
      <c r="G19" s="13" t="s">
        <v>12</v>
      </c>
      <c r="H19" s="13" t="s">
        <v>17</v>
      </c>
      <c r="I19" s="13">
        <v>6000</v>
      </c>
      <c r="J19" s="13">
        <v>300</v>
      </c>
      <c r="K19" s="10">
        <v>0</v>
      </c>
      <c r="L19" s="29">
        <v>0</v>
      </c>
      <c r="M19" s="10">
        <v>1</v>
      </c>
      <c r="N19" s="29">
        <v>0</v>
      </c>
      <c r="O19" s="10">
        <v>0</v>
      </c>
      <c r="P19" s="29">
        <v>0</v>
      </c>
      <c r="Q19" s="10">
        <v>1</v>
      </c>
      <c r="R19" s="29">
        <v>0</v>
      </c>
      <c r="S19" s="10">
        <v>0</v>
      </c>
      <c r="T19" s="29">
        <v>0</v>
      </c>
      <c r="U19" s="13">
        <f t="shared" si="0"/>
        <v>0</v>
      </c>
      <c r="V19" s="18">
        <f t="shared" si="1"/>
        <v>2</v>
      </c>
      <c r="W19" s="21">
        <f t="shared" si="2"/>
        <v>12000</v>
      </c>
      <c r="X19" s="21">
        <f t="shared" si="3"/>
        <v>0</v>
      </c>
      <c r="Y19" s="21">
        <f t="shared" si="4"/>
        <v>12000</v>
      </c>
      <c r="Z19" s="26">
        <v>0</v>
      </c>
      <c r="AA19" s="25">
        <f t="shared" si="5"/>
        <v>12000</v>
      </c>
      <c r="AB19" s="3" t="s">
        <v>31</v>
      </c>
    </row>
    <row r="21" spans="7:28" x14ac:dyDescent="0.25">
      <c r="G21" s="24" t="s">
        <v>32</v>
      </c>
      <c r="W21" s="23">
        <f>SUM(W14:W19)</f>
        <v>49300</v>
      </c>
      <c r="X21" s="23">
        <f t="shared" ref="X21:AA21" si="6">SUM(X14:X19)</f>
        <v>2670</v>
      </c>
      <c r="Y21" s="23">
        <f t="shared" si="6"/>
        <v>51970</v>
      </c>
      <c r="Z21" s="23">
        <f t="shared" si="6"/>
        <v>0</v>
      </c>
      <c r="AA21" s="23">
        <f t="shared" si="6"/>
        <v>51970</v>
      </c>
      <c r="AB21" s="22"/>
    </row>
    <row r="23" spans="7:28" x14ac:dyDescent="0.25">
      <c r="G23" s="11" t="s">
        <v>29</v>
      </c>
    </row>
    <row r="24" spans="7:28" x14ac:dyDescent="0.25">
      <c r="G24" s="1" t="s">
        <v>27</v>
      </c>
    </row>
    <row r="25" spans="7:28" x14ac:dyDescent="0.25">
      <c r="G25" s="1" t="s">
        <v>33</v>
      </c>
    </row>
    <row r="26" spans="7:28" x14ac:dyDescent="0.25">
      <c r="G26" s="1" t="s">
        <v>28</v>
      </c>
    </row>
  </sheetData>
  <mergeCells count="14">
    <mergeCell ref="K10:S10"/>
    <mergeCell ref="G11:G13"/>
    <mergeCell ref="H11:H13"/>
    <mergeCell ref="I11:I13"/>
    <mergeCell ref="U11:U13"/>
    <mergeCell ref="J11:J13"/>
    <mergeCell ref="AB11:AB13"/>
    <mergeCell ref="Y11:Y13"/>
    <mergeCell ref="X11:X13"/>
    <mergeCell ref="K11:T11"/>
    <mergeCell ref="Z11:Z13"/>
    <mergeCell ref="AA11:AA13"/>
    <mergeCell ref="V11:V13"/>
    <mergeCell ref="W11:W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2026-09-09T09:30:03Z</dcterms:created>
  <dcterms:modified xsi:type="dcterms:W3CDTF">2026-09-09T10:44:11Z</dcterms:modified>
</cp:coreProperties>
</file>